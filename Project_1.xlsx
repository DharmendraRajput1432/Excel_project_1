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d07c6c1d2e7766/Documents/"/>
    </mc:Choice>
  </mc:AlternateContent>
  <xr:revisionPtr revIDLastSave="616" documentId="8_{4C13A185-5292-4BA5-8563-65AD007C4911}" xr6:coauthVersionLast="47" xr6:coauthVersionMax="47" xr10:uidLastSave="{5B22B12A-D652-4B1F-8E0D-4A51566BA334}"/>
  <bookViews>
    <workbookView xWindow="-108" yWindow="-108" windowWidth="23256" windowHeight="12456" activeTab="1" xr2:uid="{CE48237E-730B-4AD4-A032-1AE63A529049}"/>
  </bookViews>
  <sheets>
    <sheet name="Sheet1" sheetId="1" r:id="rId1"/>
    <sheet name="most of" sheetId="5" r:id="rId2"/>
    <sheet name="If_And" sheetId="2" r:id="rId3"/>
    <sheet name="If_OR" sheetId="3" r:id="rId4"/>
    <sheet name="Sheet4" sheetId="4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5" l="1" a="1"/>
  <c r="E27" i="5"/>
  <c r="E25" i="5"/>
  <c r="E23" i="5"/>
  <c r="C24" i="5"/>
  <c r="B24" i="5" a="1"/>
  <c r="F19" i="5" a="1"/>
  <c r="D18" i="5"/>
  <c r="B18" i="5"/>
  <c r="F15" i="5"/>
  <c r="B15" i="5"/>
  <c r="F12" i="5"/>
  <c r="B12" i="5"/>
  <c r="D12" i="5"/>
  <c r="D20" i="5"/>
  <c r="J18" i="5" a="1"/>
  <c r="I2" i="2"/>
  <c r="G2" i="3"/>
  <c r="G16" i="5"/>
  <c r="G15" i="5"/>
  <c r="F16" i="5"/>
  <c r="J2" i="5"/>
  <c r="G6" i="5"/>
  <c r="I6" i="5" s="1"/>
  <c r="G2" i="5"/>
  <c r="I2" i="5" s="1"/>
  <c r="G3" i="5"/>
  <c r="J3" i="5"/>
  <c r="J4" i="5"/>
  <c r="J5" i="5"/>
  <c r="J6" i="5"/>
  <c r="J7" i="5"/>
  <c r="J8" i="5"/>
  <c r="J9" i="5"/>
  <c r="G4" i="5"/>
  <c r="G12" i="5" s="1" a="1"/>
  <c r="G5" i="5"/>
  <c r="J15" i="5" s="1" a="1"/>
  <c r="G7" i="5"/>
  <c r="I7" i="5" s="1"/>
  <c r="G8" i="5"/>
  <c r="I8" i="5" s="1"/>
  <c r="G9" i="5"/>
  <c r="I9" i="5" s="1"/>
  <c r="G3" i="3"/>
  <c r="G4" i="3"/>
  <c r="G5" i="3"/>
  <c r="G6" i="3"/>
  <c r="G7" i="3"/>
  <c r="G8" i="3"/>
  <c r="G9" i="3"/>
  <c r="I3" i="2"/>
  <c r="I4" i="2"/>
  <c r="I5" i="2"/>
  <c r="I6" i="2"/>
  <c r="I7" i="2"/>
  <c r="I8" i="2"/>
  <c r="I9" i="2"/>
  <c r="D15" i="5" l="1"/>
  <c r="B20" i="5"/>
  <c r="I3" i="5"/>
  <c r="I4" i="5"/>
  <c r="I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<sst xmlns="http://schemas.openxmlformats.org/spreadsheetml/2006/main" count="145" uniqueCount="64">
  <si>
    <t>Student_ID</t>
  </si>
  <si>
    <t>Student_Name</t>
  </si>
  <si>
    <t>Math</t>
  </si>
  <si>
    <t>Science</t>
  </si>
  <si>
    <t>DOB</t>
  </si>
  <si>
    <t>Fee</t>
  </si>
  <si>
    <t>Discount_Rate</t>
  </si>
  <si>
    <t>Aarav Patel</t>
  </si>
  <si>
    <t>Priya Shah</t>
  </si>
  <si>
    <t>Rahul Mehta</t>
  </si>
  <si>
    <t>Neha Joshi</t>
  </si>
  <si>
    <t>Karan Desai</t>
  </si>
  <si>
    <t>Riya Patel</t>
  </si>
  <si>
    <t>Dev Shah</t>
  </si>
  <si>
    <t>Anaya Mehta</t>
  </si>
  <si>
    <t>Priya</t>
  </si>
  <si>
    <t>Neha</t>
  </si>
  <si>
    <t>25/09/2003</t>
  </si>
  <si>
    <t>18/12/2005</t>
  </si>
  <si>
    <t>20/7/2003</t>
  </si>
  <si>
    <t>15/3/2004</t>
  </si>
  <si>
    <t>30/6/2003</t>
  </si>
  <si>
    <t>Date</t>
  </si>
  <si>
    <t>Salesperson</t>
  </si>
  <si>
    <t>Region</t>
  </si>
  <si>
    <t>Product</t>
  </si>
  <si>
    <t>Sales</t>
  </si>
  <si>
    <t>Amit</t>
  </si>
  <si>
    <t>West</t>
  </si>
  <si>
    <t>Laptop</t>
  </si>
  <si>
    <t>North</t>
  </si>
  <si>
    <t>Mouse</t>
  </si>
  <si>
    <t>Keyboard</t>
  </si>
  <si>
    <t>South</t>
  </si>
  <si>
    <t>15/02/2026</t>
  </si>
  <si>
    <t>20/02/2026</t>
  </si>
  <si>
    <t>15/03/2026</t>
  </si>
  <si>
    <t>Discount_Status</t>
  </si>
  <si>
    <t>Average_Marks</t>
  </si>
  <si>
    <t>Grade</t>
  </si>
  <si>
    <t>Calculate_Discount</t>
  </si>
  <si>
    <t>CountIfs</t>
  </si>
  <si>
    <t>SumIFs</t>
  </si>
  <si>
    <t>AvgIFs</t>
  </si>
  <si>
    <t>Vlookup</t>
  </si>
  <si>
    <t>Index</t>
  </si>
  <si>
    <t>Match</t>
  </si>
  <si>
    <t>Extract_name</t>
  </si>
  <si>
    <t>Upper_lower</t>
  </si>
  <si>
    <t>XLOOKUP</t>
  </si>
  <si>
    <t>XMATCH</t>
  </si>
  <si>
    <t>INDIRECT</t>
  </si>
  <si>
    <t>OFFSET</t>
  </si>
  <si>
    <t xml:space="preserve">who score above 80 mark in both </t>
  </si>
  <si>
    <t>if</t>
  </si>
  <si>
    <t>count</t>
  </si>
  <si>
    <t>countif</t>
  </si>
  <si>
    <t>Date_function</t>
  </si>
  <si>
    <t>Age</t>
  </si>
  <si>
    <t>Diffrence_Days</t>
  </si>
  <si>
    <t>round</t>
  </si>
  <si>
    <t>ceiling</t>
  </si>
  <si>
    <t>floor</t>
  </si>
  <si>
    <t>top 5 high scoring std in maths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</si>
</sst>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\ #,##0"/>
    <numFmt numFmtId="165" formatCode="d\-m\-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/>
    <xf numFmtId="16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0" fillId="3" borderId="1" xfId="0" applyFill="1" applyBorder="1"/>
    <xf numFmtId="0" fontId="0" fillId="0" borderId="1" xfId="0" applyBorder="1"/>
    <xf numFmtId="0" fontId="2" fillId="2" borderId="1" xfId="0" applyFont="1" applyFill="1" applyBorder="1"/>
    <xf numFmtId="0" fontId="0" fillId="4" borderId="0" xfId="0" applyFill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2" xfId="0" applyBorder="1"/>
    <xf numFmtId="14" fontId="0" fillId="0" borderId="2" xfId="0" applyNumberFormat="1" applyBorder="1" applyAlignment="1">
      <alignment horizontal="left"/>
    </xf>
    <xf numFmtId="164" fontId="0" fillId="0" borderId="2" xfId="0" applyNumberFormat="1" applyBorder="1"/>
    <xf numFmtId="9" fontId="0" fillId="0" borderId="7" xfId="0" applyNumberFormat="1" applyBorder="1" applyAlignment="1">
      <alignment horizontal="center"/>
    </xf>
    <xf numFmtId="0" fontId="0" fillId="0" borderId="8" xfId="0" applyBorder="1"/>
    <xf numFmtId="0" fontId="0" fillId="0" borderId="9" xfId="0" applyBorder="1"/>
    <xf numFmtId="14" fontId="0" fillId="0" borderId="9" xfId="0" applyNumberFormat="1" applyBorder="1" applyAlignment="1">
      <alignment horizontal="left"/>
    </xf>
    <xf numFmtId="164" fontId="0" fillId="0" borderId="9" xfId="0" applyNumberFormat="1" applyBorder="1"/>
    <xf numFmtId="9" fontId="0" fillId="0" borderId="10" xfId="0" applyNumberFormat="1" applyBorder="1" applyAlignment="1">
      <alignment horizontal="center"/>
    </xf>
    <xf numFmtId="0" fontId="1" fillId="0" borderId="2" xfId="0" applyFont="1" applyBorder="1"/>
    <xf numFmtId="0" fontId="2" fillId="2" borderId="2" xfId="0" applyFont="1" applyFill="1" applyBorder="1"/>
    <xf numFmtId="1" fontId="0" fillId="0" borderId="2" xfId="0" applyNumberFormat="1" applyBorder="1"/>
    <xf numFmtId="0" fontId="0" fillId="3" borderId="2" xfId="0" applyFill="1" applyBorder="1"/>
    <xf numFmtId="9" fontId="0" fillId="0" borderId="2" xfId="0" applyNumberFormat="1" applyBorder="1"/>
    <xf numFmtId="165" fontId="0" fillId="0" borderId="2" xfId="0" applyNumberFormat="1" applyBorder="1" applyAlignment="1">
      <alignment horizontal="center"/>
    </xf>
    <xf numFmtId="0" fontId="0" fillId="5" borderId="0" xfId="0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31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64" formatCode="[$₹-4009]\ #,##0"/>
    </dxf>
    <dxf>
      <numFmt numFmtId="19" formatCode="m/d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₹-4009]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 outline="0">
        <left style="thin">
          <color theme="4" tint="0.39997558519241921"/>
        </left>
      </border>
    </dxf>
    <dxf>
      <numFmt numFmtId="13" formatCode="0%"/>
    </dxf>
    <dxf>
      <numFmt numFmtId="1" formatCode="0"/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₹-4009]\ #,##0"/>
    </dxf>
    <dxf>
      <numFmt numFmtId="164" formatCode="[$₹-4009]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vertical="bottom" textRotation="0" wrapText="0" indent="0" justifyLastLine="0" shrinkToFit="0" readingOrder="0"/>
    </dxf>
    <dxf>
      <numFmt numFmtId="165" formatCode="d\-m\-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C8C3C3-0910-43C7-8897-853B3F835E83}" name="Table1" displayName="Table1" ref="A1:G9" totalsRowShown="0" headerRowDxfId="16" headerRowBorderDxfId="15" tableBorderDxfId="14" totalsRowBorderDxfId="13">
  <autoFilter ref="A1:G9" xr:uid="{F0C8C3C3-0910-43C7-8897-853B3F835E83}"/>
  <tableColumns count="7">
    <tableColumn id="1" xr3:uid="{4A2A303E-334A-420F-A157-283ACEDBED43}" name="Student_ID" dataDxfId="12"/>
    <tableColumn id="2" xr3:uid="{CB947D01-D15A-4F18-853A-8077AAB6A526}" name="Student_Name" dataDxfId="11"/>
    <tableColumn id="3" xr3:uid="{ED77CDFD-5EE0-4EE2-9675-8B40EE13DF15}" name="Math" dataDxfId="10"/>
    <tableColumn id="4" xr3:uid="{24B31A69-90BF-4135-A9E4-9C48ABC59DCF}" name="Science" dataDxfId="9"/>
    <tableColumn id="5" xr3:uid="{4011C8F4-3B5F-4B2B-9A13-8B5D7C7C21C8}" name="DOB" dataDxfId="8"/>
    <tableColumn id="6" xr3:uid="{C9F9B3FD-312F-4C8D-9FAF-36A3CC610681}" name="Fee" dataDxfId="7"/>
    <tableColumn id="7" xr3:uid="{EA9ED5CB-F0E2-4313-A9A7-6B67C10BFD70}" name="Discount_Rate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B44938-998D-44DF-B909-4A012B37A3B3}" name="Table15" displayName="Table15" ref="A1:G10" totalsRowCount="1" headerRowDxfId="30">
  <autoFilter ref="A1:G9" xr:uid="{E8B44938-998D-44DF-B909-4A012B37A3B3}"/>
  <tableColumns count="7">
    <tableColumn id="1" xr3:uid="{C081A0D4-6D2F-4BFA-8DFF-461A6AB94AEE}" name="Student_ID" dataDxfId="29"/>
    <tableColumn id="2" xr3:uid="{C7C241A1-6D56-42EE-9871-039ED4198BA8}" name="Student_Name" dataDxfId="28"/>
    <tableColumn id="3" xr3:uid="{DEFC9056-AE18-485D-8A64-C554A36569CE}" name="Math" dataDxfId="27"/>
    <tableColumn id="4" xr3:uid="{A0E27795-6245-4C42-B2F0-0CBB5A218CFA}" name="Science" dataDxfId="26"/>
    <tableColumn id="5" xr3:uid="{1AB3DB9F-FFBD-42B9-A4C8-8BCAD06B9B16}" name="DOB" dataDxfId="25" totalsRowDxfId="24"/>
    <tableColumn id="6" xr3:uid="{0F7E101A-4C07-4C8D-A87E-614FB2985E03}" name="Fee" dataDxfId="23" totalsRowDxfId="22"/>
    <tableColumn id="8" xr3:uid="{611C4D75-B7FC-4727-9C63-4A7CEE5C3FB1}" name="Average_Marks" dataDxfId="21" totalsRowDxfId="20">
      <calculatedColumnFormula>AVERAGE(Table15[[#This Row],[Math]:[Science]])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D756E1-66A8-482B-87D9-2D08F3FF1187}" name="Table6" displayName="Table6" ref="J1:J9" totalsRowShown="0" dataDxfId="19" tableBorderDxfId="18">
  <autoFilter ref="J1:J9" xr:uid="{EFD756E1-66A8-482B-87D9-2D08F3FF1187}"/>
  <tableColumns count="1">
    <tableColumn id="1" xr3:uid="{A82D6BA8-EAFC-4AD0-A80E-C77057139735}" name="Calculate_Discount" dataDxfId="17">
      <calculatedColumnFormula>IF(F2&gt;=30000,15%,IF(F2&gt;=20000,10%,IF(F2&gt;=10000,5%,0%)))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CC5931-AA97-40DC-B535-D3BBFFD126BF}" name="Table13" displayName="Table13" ref="A1:G9" totalsRowShown="0" headerRowDxfId="5">
  <autoFilter ref="A1:G9" xr:uid="{1DCC5931-AA97-40DC-B535-D3BBFFD126BF}"/>
  <tableColumns count="7">
    <tableColumn id="1" xr3:uid="{3F8AC455-1CAB-4282-91FF-4A62B1D21E27}" name="Student_ID"/>
    <tableColumn id="2" xr3:uid="{B4F94D20-F2D3-421C-9E16-315AD0A58C6B}" name="Student_Name"/>
    <tableColumn id="3" xr3:uid="{627D5A1C-6C8A-4D3E-9968-688011D2FABF}" name="Math"/>
    <tableColumn id="4" xr3:uid="{B75F0950-41AA-4FB8-9E48-CDA600F7DDA5}" name="Science"/>
    <tableColumn id="5" xr3:uid="{CC1CB317-1ADD-4A9E-A662-8FAB5DEBBCFE}" name="DOB" dataDxfId="4"/>
    <tableColumn id="6" xr3:uid="{94B1B26C-5394-4598-A4CD-9F423E3E6C80}" name="Fee" dataDxfId="3"/>
    <tableColumn id="7" xr3:uid="{459EAC70-B346-4CA5-9066-964256BA008D}" name="Discount_Rate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5561FE-B2F4-475B-ADE8-15A78179C8E5}" name="Table3" displayName="Table3" ref="A1:E9" totalsRowShown="0">
  <autoFilter ref="A1:E9" xr:uid="{B15561FE-B2F4-475B-ADE8-15A78179C8E5}"/>
  <tableColumns count="5">
    <tableColumn id="1" xr3:uid="{AB932572-5D40-4720-9956-2E43F7025527}" name="Date" dataDxfId="1"/>
    <tableColumn id="2" xr3:uid="{D221F5A1-DCA9-4B12-B012-02B639727DE0}" name="Salesperson"/>
    <tableColumn id="3" xr3:uid="{D59B31BB-D049-42AE-BC37-D744657DD49E}" name="Region"/>
    <tableColumn id="4" xr3:uid="{5CAF77DC-6DDA-483E-A113-42E6C0F0D82A}" name="Product"/>
    <tableColumn id="5" xr3:uid="{13C0BFF8-D3D5-4E98-8856-227F62278B9C}" name="Sal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914E74-BDED-4A1D-8D87-858238351656}" name="Table38" displayName="Table38" ref="A1:E9" totalsRowShown="0">
  <autoFilter ref="A1:E9" xr:uid="{18914E74-BDED-4A1D-8D87-858238351656}"/>
  <tableColumns count="5">
    <tableColumn id="1" xr3:uid="{BBD78EC1-2932-4EFC-9D1B-90AF74AC90A9}" name="Date" dataDxfId="0"/>
    <tableColumn id="2" xr3:uid="{779B9F03-5F15-4F61-9C38-5239A025AB0C}" name="Salesperson"/>
    <tableColumn id="3" xr3:uid="{95FD279F-8172-428E-8DC5-E7B0C30B7C44}" name="Region"/>
    <tableColumn id="4" xr3:uid="{9AA68BBF-2DD4-4D3D-9C41-A161229F9A96}" name="Product"/>
    <tableColumn id="5" xr3:uid="{8A4EE021-25B4-4CDF-AA2B-2737FA9EAF38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FB29-1455-4C4C-AF13-6268239B1848}">
  <dimension ref="A1:G9"/>
  <sheetViews>
    <sheetView zoomScale="159" zoomScaleNormal="180" workbookViewId="0">
      <selection activeCell="E13" sqref="E13"/>
    </sheetView>
  </sheetViews>
  <sheetFormatPr defaultRowHeight="14.4" x14ac:dyDescent="0.3"/>
  <cols>
    <col min="1" max="1" width="12.6640625" bestFit="1" customWidth="1"/>
    <col min="2" max="2" width="16" bestFit="1" customWidth="1"/>
    <col min="3" max="3" width="7.77734375" bestFit="1" customWidth="1"/>
    <col min="4" max="4" width="9.5546875" bestFit="1" customWidth="1"/>
    <col min="5" max="5" width="10.77734375" bestFit="1" customWidth="1"/>
    <col min="6" max="6" width="8" bestFit="1" customWidth="1"/>
    <col min="7" max="7" width="15.44140625" bestFit="1" customWidth="1"/>
  </cols>
  <sheetData>
    <row r="1" spans="1:7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</row>
    <row r="2" spans="1:7" x14ac:dyDescent="0.3">
      <c r="A2" s="15">
        <v>101</v>
      </c>
      <c r="B2" s="16" t="s">
        <v>7</v>
      </c>
      <c r="C2" s="16">
        <v>85</v>
      </c>
      <c r="D2" s="16">
        <v>90</v>
      </c>
      <c r="E2" s="17" t="s">
        <v>20</v>
      </c>
      <c r="F2" s="18">
        <v>25000</v>
      </c>
      <c r="G2" s="19">
        <v>0.1</v>
      </c>
    </row>
    <row r="3" spans="1:7" x14ac:dyDescent="0.3">
      <c r="A3" s="15">
        <v>102</v>
      </c>
      <c r="B3" s="16" t="s">
        <v>8</v>
      </c>
      <c r="C3" s="16">
        <v>72</v>
      </c>
      <c r="D3" s="16">
        <v>88</v>
      </c>
      <c r="E3" s="17" t="s">
        <v>19</v>
      </c>
      <c r="F3" s="18">
        <v>30000</v>
      </c>
      <c r="G3" s="19">
        <v>0.05</v>
      </c>
    </row>
    <row r="4" spans="1:7" x14ac:dyDescent="0.3">
      <c r="A4" s="15">
        <v>103</v>
      </c>
      <c r="B4" s="16" t="s">
        <v>9</v>
      </c>
      <c r="C4" s="16">
        <v>45</v>
      </c>
      <c r="D4" s="16">
        <v>52</v>
      </c>
      <c r="E4" s="17">
        <v>38626</v>
      </c>
      <c r="F4" s="18">
        <v>20000</v>
      </c>
      <c r="G4" s="19">
        <v>0</v>
      </c>
    </row>
    <row r="5" spans="1:7" x14ac:dyDescent="0.3">
      <c r="A5" s="15">
        <v>104</v>
      </c>
      <c r="B5" s="16" t="s">
        <v>10</v>
      </c>
      <c r="C5" s="16">
        <v>92</v>
      </c>
      <c r="D5" s="16">
        <v>95</v>
      </c>
      <c r="E5" s="17">
        <v>38118</v>
      </c>
      <c r="F5" s="18">
        <v>35000</v>
      </c>
      <c r="G5" s="19">
        <v>0.15</v>
      </c>
    </row>
    <row r="6" spans="1:7" x14ac:dyDescent="0.3">
      <c r="A6" s="15">
        <v>105</v>
      </c>
      <c r="B6" s="16" t="s">
        <v>11</v>
      </c>
      <c r="C6" s="16">
        <v>60</v>
      </c>
      <c r="D6" s="16">
        <v>75</v>
      </c>
      <c r="E6" s="17" t="s">
        <v>17</v>
      </c>
      <c r="F6" s="18">
        <v>28000</v>
      </c>
      <c r="G6" s="19">
        <v>0.05</v>
      </c>
    </row>
    <row r="7" spans="1:7" x14ac:dyDescent="0.3">
      <c r="A7" s="15">
        <v>106</v>
      </c>
      <c r="B7" s="16" t="s">
        <v>12</v>
      </c>
      <c r="C7" s="16">
        <v>38</v>
      </c>
      <c r="D7" s="16">
        <v>42</v>
      </c>
      <c r="E7" s="17" t="s">
        <v>18</v>
      </c>
      <c r="F7" s="18">
        <v>18000</v>
      </c>
      <c r="G7" s="19">
        <v>0</v>
      </c>
    </row>
    <row r="8" spans="1:7" x14ac:dyDescent="0.3">
      <c r="A8" s="15">
        <v>107</v>
      </c>
      <c r="B8" s="16" t="s">
        <v>13</v>
      </c>
      <c r="C8" s="16">
        <v>81</v>
      </c>
      <c r="D8" s="16">
        <v>79</v>
      </c>
      <c r="E8" s="17">
        <v>38325</v>
      </c>
      <c r="F8" s="18">
        <v>32000</v>
      </c>
      <c r="G8" s="19">
        <v>0.1</v>
      </c>
    </row>
    <row r="9" spans="1:7" x14ac:dyDescent="0.3">
      <c r="A9" s="20">
        <v>108</v>
      </c>
      <c r="B9" s="21" t="s">
        <v>14</v>
      </c>
      <c r="C9" s="21">
        <v>55</v>
      </c>
      <c r="D9" s="21">
        <v>65</v>
      </c>
      <c r="E9" s="22" t="s">
        <v>21</v>
      </c>
      <c r="F9" s="23">
        <v>22000</v>
      </c>
      <c r="G9" s="24">
        <v>0.05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B443-E3BB-4176-9A40-BDC01E4B05F5}">
  <dimension ref="A1:P31"/>
  <sheetViews>
    <sheetView tabSelected="1" topLeftCell="A3" zoomScale="96" workbookViewId="0">
      <selection activeCell="G26" sqref="G26"/>
    </sheetView>
  </sheetViews>
  <sheetFormatPr defaultRowHeight="14.4" x14ac:dyDescent="0.3"/>
  <cols>
    <col min="1" max="1" width="12.6640625" bestFit="1" customWidth="1"/>
    <col min="2" max="2" width="16" bestFit="1" customWidth="1"/>
    <col min="3" max="3" width="13.77734375" bestFit="1" customWidth="1"/>
    <col min="4" max="4" width="11.77734375" bestFit="1" customWidth="1"/>
    <col min="5" max="5" width="16.5546875" customWidth="1"/>
    <col min="6" max="6" width="12.33203125" bestFit="1" customWidth="1"/>
    <col min="7" max="7" width="27.21875" bestFit="1" customWidth="1"/>
    <col min="8" max="8" width="3" bestFit="1" customWidth="1"/>
    <col min="9" max="9" width="6" bestFit="1" customWidth="1"/>
    <col min="10" max="10" width="19.44140625" bestFit="1" customWidth="1"/>
    <col min="11" max="11" width="9.77734375" bestFit="1" customWidth="1"/>
  </cols>
  <sheetData>
    <row r="1" spans="1:16" x14ac:dyDescent="0.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38</v>
      </c>
      <c r="H1" s="16"/>
      <c r="I1" s="26" t="s">
        <v>39</v>
      </c>
      <c r="J1" s="16" t="s">
        <v>40</v>
      </c>
    </row>
    <row r="2" spans="1:16" x14ac:dyDescent="0.3">
      <c r="A2" s="16">
        <v>101</v>
      </c>
      <c r="B2" s="16" t="s">
        <v>7</v>
      </c>
      <c r="C2" s="16">
        <v>85</v>
      </c>
      <c r="D2" s="16">
        <v>90</v>
      </c>
      <c r="E2" s="30">
        <v>37965</v>
      </c>
      <c r="F2" s="18">
        <v>25000</v>
      </c>
      <c r="G2" s="27">
        <f>AVERAGE(Table15[[#This Row],[Math]:[Science]])</f>
        <v>87.5</v>
      </c>
      <c r="H2" s="16"/>
      <c r="I2" s="28" t="str">
        <f>IF(Table15[[#This Row],[Average_Marks]]&gt;=90,"A ",IF(Table15[[#This Row],[Average_Marks]]&gt;=80,"B ",IF(Table15[[#This Row],[Average_Marks]]&gt;=70,"C ",IF(Table15[[#This Row],[Average_Marks]]&gt;=60,"D ","F"))))</f>
        <v xml:space="preserve">B </v>
      </c>
      <c r="J2" s="29">
        <f>IF(F2&gt;=30000,15%,IF(F2&gt;=20000,10%,IF(F2&gt;=10000,5%,0%)))</f>
        <v>0.1</v>
      </c>
    </row>
    <row r="3" spans="1:16" x14ac:dyDescent="0.3">
      <c r="A3" s="16">
        <v>102</v>
      </c>
      <c r="B3" s="16" t="s">
        <v>8</v>
      </c>
      <c r="C3" s="16">
        <v>72</v>
      </c>
      <c r="D3" s="16">
        <v>88</v>
      </c>
      <c r="E3" s="30">
        <v>36791</v>
      </c>
      <c r="F3" s="18">
        <v>30000</v>
      </c>
      <c r="G3" s="27">
        <f>AVERAGE(Table15[[#This Row],[Math]:[Science]])</f>
        <v>80</v>
      </c>
      <c r="H3" s="16"/>
      <c r="I3" s="28" t="str">
        <f>IF(Table15[[#This Row],[Average_Marks]]&gt;=90,"A ",IF(Table15[[#This Row],[Average_Marks]]&gt;=80,"B ",IF(Table15[[#This Row],[Average_Marks]]&gt;=70,"C ",IF(Table15[[#This Row],[Average_Marks]]&gt;=60,"D ","F"))))</f>
        <v xml:space="preserve">B </v>
      </c>
      <c r="J3" s="29">
        <f t="shared" ref="J3:J9" si="0">IF(F3&gt;=30000,15%,IF(F3&gt;=20000,10%,IF(F3&gt;=10000,5%,0%)))</f>
        <v>0.15</v>
      </c>
    </row>
    <row r="4" spans="1:16" x14ac:dyDescent="0.3">
      <c r="A4" s="16">
        <v>103</v>
      </c>
      <c r="B4" s="16" t="s">
        <v>9</v>
      </c>
      <c r="C4" s="16">
        <v>45</v>
      </c>
      <c r="D4" s="16">
        <v>52</v>
      </c>
      <c r="E4" s="30">
        <v>38626</v>
      </c>
      <c r="F4" s="18">
        <v>20000</v>
      </c>
      <c r="G4" s="27">
        <f>AVERAGE(Table15[[#This Row],[Math]:[Science]])</f>
        <v>48.5</v>
      </c>
      <c r="H4" s="16"/>
      <c r="I4" s="28" t="str">
        <f>IF(Table15[[#This Row],[Average_Marks]]&gt;=90,"A ",IF(Table15[[#This Row],[Average_Marks]]&gt;=80,"B ",IF(Table15[[#This Row],[Average_Marks]]&gt;=70,"C ",IF(Table15[[#This Row],[Average_Marks]]&gt;=60,"D ","F"))))</f>
        <v>F</v>
      </c>
      <c r="J4" s="29">
        <f t="shared" si="0"/>
        <v>0.1</v>
      </c>
    </row>
    <row r="5" spans="1:16" x14ac:dyDescent="0.3">
      <c r="A5" s="16">
        <v>104</v>
      </c>
      <c r="B5" s="16" t="s">
        <v>10</v>
      </c>
      <c r="C5" s="16">
        <v>92</v>
      </c>
      <c r="D5" s="16">
        <v>95</v>
      </c>
      <c r="E5" s="30">
        <v>38118</v>
      </c>
      <c r="F5" s="18">
        <v>35000</v>
      </c>
      <c r="G5" s="27">
        <f>AVERAGE(Table15[[#This Row],[Math]:[Science]])</f>
        <v>93.5</v>
      </c>
      <c r="H5" s="16"/>
      <c r="I5" s="28" t="str">
        <f>IF(Table15[[#This Row],[Average_Marks]]&gt;=90,"A ",IF(Table15[[#This Row],[Average_Marks]]&gt;=80,"B ",IF(Table15[[#This Row],[Average_Marks]]&gt;=70,"C ",IF(Table15[[#This Row],[Average_Marks]]&gt;=60,"D ","F"))))</f>
        <v xml:space="preserve">A </v>
      </c>
      <c r="J5" s="29">
        <f t="shared" si="0"/>
        <v>0.15</v>
      </c>
    </row>
    <row r="6" spans="1:16" x14ac:dyDescent="0.3">
      <c r="A6" s="16">
        <v>105</v>
      </c>
      <c r="B6" s="16" t="s">
        <v>11</v>
      </c>
      <c r="C6" s="16">
        <v>60</v>
      </c>
      <c r="D6" s="16">
        <v>75</v>
      </c>
      <c r="E6" s="30">
        <v>37145</v>
      </c>
      <c r="F6" s="18">
        <v>28000</v>
      </c>
      <c r="G6" s="27">
        <f>AVERAGE(Table15[[#This Row],[Math]:[Science]])</f>
        <v>67.5</v>
      </c>
      <c r="H6" s="16"/>
      <c r="I6" s="28" t="str">
        <f>IF(Table15[[#This Row],[Average_Marks]]&gt;=90,"A ",IF(Table15[[#This Row],[Average_Marks]]&gt;=80,"B ",IF(Table15[[#This Row],[Average_Marks]]&gt;=70,"C ",IF(Table15[[#This Row],[Average_Marks]]&gt;=60,"D ","F"))))</f>
        <v xml:space="preserve">D </v>
      </c>
      <c r="J6" s="29">
        <f t="shared" si="0"/>
        <v>0.1</v>
      </c>
    </row>
    <row r="7" spans="1:16" x14ac:dyDescent="0.3">
      <c r="A7" s="16">
        <v>106</v>
      </c>
      <c r="B7" s="16" t="s">
        <v>12</v>
      </c>
      <c r="C7" s="16">
        <v>38</v>
      </c>
      <c r="D7" s="16">
        <v>42</v>
      </c>
      <c r="E7" s="30">
        <v>36384</v>
      </c>
      <c r="F7" s="18">
        <v>18000</v>
      </c>
      <c r="G7" s="27">
        <f>AVERAGE(Table15[[#This Row],[Math]:[Science]])</f>
        <v>40</v>
      </c>
      <c r="H7" s="16"/>
      <c r="I7" s="28" t="str">
        <f>IF(Table15[[#This Row],[Average_Marks]]&gt;=90,"A ",IF(Table15[[#This Row],[Average_Marks]]&gt;=80,"B ",IF(Table15[[#This Row],[Average_Marks]]&gt;=70,"C ",IF(Table15[[#This Row],[Average_Marks]]&gt;=60,"D ","F"))))</f>
        <v>F</v>
      </c>
      <c r="J7" s="29">
        <f t="shared" si="0"/>
        <v>0.05</v>
      </c>
    </row>
    <row r="8" spans="1:16" x14ac:dyDescent="0.3">
      <c r="A8" s="16">
        <v>107</v>
      </c>
      <c r="B8" s="16" t="s">
        <v>13</v>
      </c>
      <c r="C8" s="16">
        <v>81</v>
      </c>
      <c r="D8" s="16">
        <v>79</v>
      </c>
      <c r="E8" s="30">
        <v>39420</v>
      </c>
      <c r="F8" s="18">
        <v>32000</v>
      </c>
      <c r="G8" s="27">
        <f>AVERAGE(Table15[[#This Row],[Math]:[Science]])</f>
        <v>80</v>
      </c>
      <c r="H8" s="16"/>
      <c r="I8" s="28" t="str">
        <f>IF(Table15[[#This Row],[Average_Marks]]&gt;=90,"A ",IF(Table15[[#This Row],[Average_Marks]]&gt;=80,"B ",IF(Table15[[#This Row],[Average_Marks]]&gt;=70,"C ",IF(Table15[[#This Row],[Average_Marks]]&gt;=60,"D ","F"))))</f>
        <v xml:space="preserve">B </v>
      </c>
      <c r="J8" s="29">
        <f t="shared" si="0"/>
        <v>0.15</v>
      </c>
    </row>
    <row r="9" spans="1:16" x14ac:dyDescent="0.3">
      <c r="A9" s="16">
        <v>108</v>
      </c>
      <c r="B9" s="16" t="s">
        <v>14</v>
      </c>
      <c r="C9" s="16">
        <v>55</v>
      </c>
      <c r="D9" s="16">
        <v>65</v>
      </c>
      <c r="E9" s="30">
        <v>35003</v>
      </c>
      <c r="F9" s="18">
        <v>22000</v>
      </c>
      <c r="G9" s="27">
        <f>AVERAGE(Table15[[#This Row],[Math]:[Science]])</f>
        <v>60</v>
      </c>
      <c r="H9" s="16"/>
      <c r="I9" s="28" t="str">
        <f>IF(Table15[[#This Row],[Average_Marks]]&gt;=90,"A ",IF(Table15[[#This Row],[Average_Marks]]&gt;=80,"B ",IF(Table15[[#This Row],[Average_Marks]]&gt;=70,"C ",IF(Table15[[#This Row],[Average_Marks]]&gt;=60,"D ","F"))))</f>
        <v xml:space="preserve">D </v>
      </c>
      <c r="J9" s="29">
        <f t="shared" si="0"/>
        <v>0.1</v>
      </c>
    </row>
    <row r="10" spans="1:16" x14ac:dyDescent="0.3">
      <c r="E10" s="1"/>
      <c r="F10" s="4"/>
      <c r="G10" s="7"/>
    </row>
    <row r="11" spans="1:16" x14ac:dyDescent="0.3">
      <c r="B11" s="11" t="s">
        <v>41</v>
      </c>
      <c r="D11" s="11" t="s">
        <v>42</v>
      </c>
      <c r="F11" s="11" t="s">
        <v>43</v>
      </c>
      <c r="G11" s="11" t="s">
        <v>44</v>
      </c>
    </row>
    <row r="12" spans="1:16" x14ac:dyDescent="0.3">
      <c r="B12">
        <f>COUNTIFS(Table15[[Math]:[Science]],"&gt;50")</f>
        <v>13</v>
      </c>
      <c r="D12">
        <f>SUMIFS(Table15[Math],Table15[Math],"&gt;60",Table15[Fee],"&gt;25000")</f>
        <v>245</v>
      </c>
      <c r="F12">
        <f>AVERAGEIFS(Table15[Math],Table15[Math],"&gt;50",Table15[Fee],"&gt;25000")</f>
        <v>76.25</v>
      </c>
      <c r="G12" t="str" cm="1">
        <f t="array" ref="G12:L12">VLOOKUP(A4,Table15[],{2,3,4,5,6,7},0)</f>
        <v>Rahul Mehta</v>
      </c>
      <c r="H12">
        <v>45</v>
      </c>
      <c r="I12">
        <v>52</v>
      </c>
      <c r="J12">
        <v>38626</v>
      </c>
      <c r="K12">
        <v>20000</v>
      </c>
      <c r="L12">
        <v>48.5</v>
      </c>
    </row>
    <row r="14" spans="1:16" x14ac:dyDescent="0.3">
      <c r="B14" s="11" t="s">
        <v>45</v>
      </c>
      <c r="D14" s="11" t="s">
        <v>46</v>
      </c>
      <c r="F14" s="11" t="s">
        <v>47</v>
      </c>
      <c r="G14" s="11" t="s">
        <v>48</v>
      </c>
      <c r="J14" s="11" t="s">
        <v>49</v>
      </c>
    </row>
    <row r="15" spans="1:16" x14ac:dyDescent="0.3">
      <c r="B15">
        <f>INDEX(A2:G9,3,3)</f>
        <v>45</v>
      </c>
      <c r="D15">
        <f>MATCH(80,Table15[Average_Marks],-1)</f>
        <v>2</v>
      </c>
      <c r="F15" t="str">
        <f>LEFT(B2,FIND(" ",B2)-1)</f>
        <v>Aarav</v>
      </c>
      <c r="G15" t="str">
        <f>UPPER(B2)</f>
        <v>AARAV PATEL</v>
      </c>
      <c r="J15" cm="1">
        <f t="array" ref="J15:P15">_xlfn.XLOOKUP(B5,Table15[Student_Name],Table15[],"not fount",0,1)</f>
        <v>104</v>
      </c>
      <c r="K15" t="str">
        <v>Neha Joshi</v>
      </c>
      <c r="L15">
        <v>92</v>
      </c>
      <c r="M15">
        <v>95</v>
      </c>
      <c r="N15">
        <v>38118</v>
      </c>
      <c r="O15">
        <v>35000</v>
      </c>
      <c r="P15">
        <v>93.5</v>
      </c>
    </row>
    <row r="16" spans="1:16" x14ac:dyDescent="0.3">
      <c r="F16" t="str">
        <f>LEFT(B4,FIND(" ",B4,1))</f>
        <v xml:space="preserve">Rahul </v>
      </c>
      <c r="G16" t="str">
        <f>LOWER(B2)</f>
        <v>aarav patel</v>
      </c>
    </row>
    <row r="17" spans="2:10" x14ac:dyDescent="0.3">
      <c r="B17" s="11" t="s">
        <v>50</v>
      </c>
      <c r="D17" s="11" t="s">
        <v>51</v>
      </c>
      <c r="J17" s="11" t="s">
        <v>54</v>
      </c>
    </row>
    <row r="18" spans="2:10" x14ac:dyDescent="0.3">
      <c r="B18">
        <f>_xlfn.XMATCH(B5,Table15[Student_Name],0,1)</f>
        <v>4</v>
      </c>
      <c r="D18">
        <f ca="1">SUM(INDIRECT("C2:C"&amp;5))</f>
        <v>294</v>
      </c>
      <c r="F18" s="11" t="s">
        <v>52</v>
      </c>
      <c r="J18" t="str" cm="1">
        <f t="array" ref="J18:J25">IF(C2:C9&gt;60,"found","not found")</f>
        <v>found</v>
      </c>
    </row>
    <row r="19" spans="2:10" x14ac:dyDescent="0.3">
      <c r="B19" s="11" t="s">
        <v>55</v>
      </c>
      <c r="D19" s="11" t="s">
        <v>56</v>
      </c>
      <c r="F19" t="str" cm="1">
        <f t="array" aca="1" ref="F19:H21" ca="1">OFFSET(A2,3,1,3,3)</f>
        <v>Neha Joshi</v>
      </c>
      <c r="G19">
        <f ca="1"/>
        <v>92</v>
      </c>
      <c r="H19">
        <f ca="1"/>
        <v>95</v>
      </c>
      <c r="J19" t="str">
        <v>found</v>
      </c>
    </row>
    <row r="20" spans="2:10" x14ac:dyDescent="0.3">
      <c r="B20">
        <f>COUNT(Table15[])</f>
        <v>48</v>
      </c>
      <c r="D20">
        <f>COUNTIF(Table15[Math],"&gt;60")</f>
        <v>4</v>
      </c>
      <c r="F20" t="str">
        <f ca="1"/>
        <v>Karan Desai</v>
      </c>
      <c r="G20">
        <f ca="1"/>
        <v>60</v>
      </c>
      <c r="H20">
        <f ca="1"/>
        <v>75</v>
      </c>
      <c r="J20" t="str">
        <v>not found</v>
      </c>
    </row>
    <row r="21" spans="2:10" x14ac:dyDescent="0.3">
      <c r="F21" t="str">
        <f ca="1"/>
        <v>Riya Patel</v>
      </c>
      <c r="G21">
        <f ca="1"/>
        <v>38</v>
      </c>
      <c r="H21">
        <f ca="1"/>
        <v>42</v>
      </c>
      <c r="J21" t="str">
        <v>found</v>
      </c>
    </row>
    <row r="22" spans="2:10" x14ac:dyDescent="0.3">
      <c r="B22" s="32" t="s">
        <v>57</v>
      </c>
      <c r="C22" s="32"/>
      <c r="E22" s="11" t="s">
        <v>60</v>
      </c>
      <c r="J22" t="str">
        <v>not found</v>
      </c>
    </row>
    <row r="23" spans="2:10" x14ac:dyDescent="0.3">
      <c r="B23" s="11" t="s">
        <v>58</v>
      </c>
      <c r="C23" s="31" t="s">
        <v>59</v>
      </c>
      <c r="E23">
        <f>ROUND(20.657,2)</f>
        <v>20.66</v>
      </c>
      <c r="J23" t="str">
        <v>not found</v>
      </c>
    </row>
    <row r="24" spans="2:10" x14ac:dyDescent="0.3">
      <c r="B24" cm="1">
        <f t="array" aca="1" ref="B24:B31" ca="1">DATEDIF(Table15[DOB],TODAY(),"Y")</f>
        <v>22</v>
      </c>
      <c r="C24">
        <f>E2-E6</f>
        <v>820</v>
      </c>
      <c r="E24" s="11" t="s">
        <v>61</v>
      </c>
      <c r="G24" s="11" t="s">
        <v>63</v>
      </c>
      <c r="J24" t="str">
        <v>found</v>
      </c>
    </row>
    <row r="25" spans="2:10" x14ac:dyDescent="0.3">
      <c r="B25">
        <f ca="1"/>
        <v>26</v>
      </c>
      <c r="E25">
        <f>CEILING(23.5,5)</f>
        <v>25</v>
      </c>
      <c r="G25" t="str" cm="1">
        <f t="array" ref="G25:H29">_xlfn._xlws.FILTER(Table15[[Student_Name]:[Math]],Table15[Math]&gt;=60,"Not Found")</f>
        <v>Aarav Patel</v>
      </c>
      <c r="H25">
        <v>85</v>
      </c>
      <c r="J25" t="str">
        <v>not found</v>
      </c>
    </row>
    <row r="26" spans="2:10" x14ac:dyDescent="0.3">
      <c r="B26">
        <f ca="1"/>
        <v>21</v>
      </c>
      <c r="E26" s="11" t="s">
        <v>62</v>
      </c>
      <c r="G26" t="str">
        <v>Priya Shah</v>
      </c>
      <c r="H26">
        <v>72</v>
      </c>
    </row>
    <row r="27" spans="2:10" x14ac:dyDescent="0.3">
      <c r="B27">
        <f ca="1"/>
        <v>22</v>
      </c>
      <c r="E27">
        <f>FLOOR(12.9,5)</f>
        <v>10</v>
      </c>
      <c r="G27" t="str">
        <v>Neha Joshi</v>
      </c>
      <c r="H27">
        <v>92</v>
      </c>
    </row>
    <row r="28" spans="2:10" x14ac:dyDescent="0.3">
      <c r="B28">
        <f ca="1"/>
        <v>25</v>
      </c>
      <c r="G28" t="str">
        <v>Karan Desai</v>
      </c>
      <c r="H28">
        <v>60</v>
      </c>
    </row>
    <row r="29" spans="2:10" x14ac:dyDescent="0.3">
      <c r="B29">
        <f ca="1"/>
        <v>27</v>
      </c>
      <c r="G29" t="str">
        <v>Dev Shah</v>
      </c>
      <c r="H29">
        <v>81</v>
      </c>
    </row>
    <row r="30" spans="2:10" x14ac:dyDescent="0.3">
      <c r="B30">
        <f ca="1"/>
        <v>18</v>
      </c>
    </row>
    <row r="31" spans="2:10" x14ac:dyDescent="0.3">
      <c r="B31">
        <f ca="1"/>
        <v>30</v>
      </c>
    </row>
  </sheetData>
  <mergeCells count="1">
    <mergeCell ref="B22:C22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128B-9C35-43D0-B03E-4BE4A0464B0A}">
  <dimension ref="A1:I9"/>
  <sheetViews>
    <sheetView zoomScale="171" workbookViewId="0">
      <selection activeCell="I3" sqref="I3"/>
    </sheetView>
  </sheetViews>
  <sheetFormatPr defaultRowHeight="14.4" x14ac:dyDescent="0.3"/>
  <cols>
    <col min="1" max="1" width="12.6640625" bestFit="1" customWidth="1"/>
    <col min="2" max="2" width="16" bestFit="1" customWidth="1"/>
    <col min="3" max="3" width="7.77734375" bestFit="1" customWidth="1"/>
    <col min="4" max="4" width="9.5546875" bestFit="1" customWidth="1"/>
    <col min="5" max="5" width="10.6640625" bestFit="1" customWidth="1"/>
    <col min="6" max="6" width="8" bestFit="1" customWidth="1"/>
    <col min="7" max="7" width="15.44140625" bestFit="1" customWidth="1"/>
    <col min="9" max="9" width="28.88671875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t="s">
        <v>53</v>
      </c>
    </row>
    <row r="2" spans="1:9" x14ac:dyDescent="0.3">
      <c r="A2">
        <v>101</v>
      </c>
      <c r="B2" t="s">
        <v>7</v>
      </c>
      <c r="C2">
        <v>85</v>
      </c>
      <c r="D2">
        <v>90</v>
      </c>
      <c r="E2" s="1" t="s">
        <v>20</v>
      </c>
      <c r="F2" s="4">
        <v>25000</v>
      </c>
      <c r="G2" s="2">
        <v>0.1</v>
      </c>
      <c r="I2" t="str">
        <f>IF(AND(C2&gt;80,D2&gt;80),"Pass","Fail")</f>
        <v>Pass</v>
      </c>
    </row>
    <row r="3" spans="1:9" x14ac:dyDescent="0.3">
      <c r="A3">
        <v>102</v>
      </c>
      <c r="B3" t="s">
        <v>8</v>
      </c>
      <c r="C3">
        <v>72</v>
      </c>
      <c r="D3">
        <v>88</v>
      </c>
      <c r="E3" s="1" t="s">
        <v>19</v>
      </c>
      <c r="F3" s="4">
        <v>30000</v>
      </c>
      <c r="G3" s="2">
        <v>0.05</v>
      </c>
      <c r="I3" t="str">
        <f t="shared" ref="I3:I9" si="0">IF(AND(C3&gt;80,D3&gt;80),"Pass","Fail")</f>
        <v>Fail</v>
      </c>
    </row>
    <row r="4" spans="1:9" x14ac:dyDescent="0.3">
      <c r="A4">
        <v>103</v>
      </c>
      <c r="B4" t="s">
        <v>9</v>
      </c>
      <c r="C4">
        <v>45</v>
      </c>
      <c r="D4">
        <v>52</v>
      </c>
      <c r="E4" s="1">
        <v>38626</v>
      </c>
      <c r="F4" s="4">
        <v>20000</v>
      </c>
      <c r="G4" s="2">
        <v>0</v>
      </c>
      <c r="I4" t="str">
        <f t="shared" si="0"/>
        <v>Fail</v>
      </c>
    </row>
    <row r="5" spans="1:9" x14ac:dyDescent="0.3">
      <c r="A5">
        <v>104</v>
      </c>
      <c r="B5" t="s">
        <v>10</v>
      </c>
      <c r="C5">
        <v>92</v>
      </c>
      <c r="D5">
        <v>95</v>
      </c>
      <c r="E5" s="1">
        <v>38118</v>
      </c>
      <c r="F5" s="4">
        <v>35000</v>
      </c>
      <c r="G5" s="2">
        <v>0.15</v>
      </c>
      <c r="I5" t="str">
        <f t="shared" si="0"/>
        <v>Pass</v>
      </c>
    </row>
    <row r="6" spans="1:9" x14ac:dyDescent="0.3">
      <c r="A6">
        <v>105</v>
      </c>
      <c r="B6" t="s">
        <v>11</v>
      </c>
      <c r="C6">
        <v>60</v>
      </c>
      <c r="D6">
        <v>75</v>
      </c>
      <c r="E6" s="1" t="s">
        <v>17</v>
      </c>
      <c r="F6" s="4">
        <v>28000</v>
      </c>
      <c r="G6" s="2">
        <v>0.05</v>
      </c>
      <c r="I6" t="str">
        <f t="shared" si="0"/>
        <v>Fail</v>
      </c>
    </row>
    <row r="7" spans="1:9" x14ac:dyDescent="0.3">
      <c r="A7">
        <v>106</v>
      </c>
      <c r="B7" t="s">
        <v>12</v>
      </c>
      <c r="C7">
        <v>38</v>
      </c>
      <c r="D7">
        <v>42</v>
      </c>
      <c r="E7" s="1" t="s">
        <v>18</v>
      </c>
      <c r="F7" s="4">
        <v>18000</v>
      </c>
      <c r="G7" s="2">
        <v>0</v>
      </c>
      <c r="I7" t="str">
        <f t="shared" si="0"/>
        <v>Fail</v>
      </c>
    </row>
    <row r="8" spans="1:9" x14ac:dyDescent="0.3">
      <c r="A8">
        <v>107</v>
      </c>
      <c r="B8" t="s">
        <v>13</v>
      </c>
      <c r="C8">
        <v>81</v>
      </c>
      <c r="D8">
        <v>79</v>
      </c>
      <c r="E8" s="1">
        <v>38325</v>
      </c>
      <c r="F8" s="4">
        <v>32000</v>
      </c>
      <c r="G8" s="2">
        <v>0.1</v>
      </c>
      <c r="I8" t="str">
        <f t="shared" si="0"/>
        <v>Fail</v>
      </c>
    </row>
    <row r="9" spans="1:9" x14ac:dyDescent="0.3">
      <c r="A9">
        <v>108</v>
      </c>
      <c r="B9" t="s">
        <v>14</v>
      </c>
      <c r="C9">
        <v>55</v>
      </c>
      <c r="D9">
        <v>65</v>
      </c>
      <c r="E9" s="1" t="s">
        <v>21</v>
      </c>
      <c r="F9" s="4">
        <v>22000</v>
      </c>
      <c r="G9" s="2">
        <v>0.05</v>
      </c>
      <c r="I9" t="str">
        <f t="shared" si="0"/>
        <v>Fail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ACF53-9983-4109-AB00-799DD20BE55F}">
  <dimension ref="A1:G9"/>
  <sheetViews>
    <sheetView zoomScale="181" workbookViewId="0">
      <selection activeCell="G3" sqref="G3"/>
    </sheetView>
  </sheetViews>
  <sheetFormatPr defaultRowHeight="14.4" x14ac:dyDescent="0.3"/>
  <cols>
    <col min="1" max="1" width="10.77734375" bestFit="1" customWidth="1"/>
    <col min="2" max="2" width="13.21875" bestFit="1" customWidth="1"/>
    <col min="3" max="3" width="9" bestFit="1" customWidth="1"/>
    <col min="4" max="4" width="9.88671875" bestFit="1" customWidth="1"/>
    <col min="5" max="5" width="7.44140625" bestFit="1" customWidth="1"/>
    <col min="6" max="6" width="16.88671875" bestFit="1" customWidth="1"/>
    <col min="7" max="7" width="14.6640625" bestFit="1" customWidth="1"/>
  </cols>
  <sheetData>
    <row r="1" spans="1:7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G1" s="10" t="s">
        <v>37</v>
      </c>
    </row>
    <row r="2" spans="1:7" x14ac:dyDescent="0.3">
      <c r="A2" s="5">
        <v>46023</v>
      </c>
      <c r="B2" t="s">
        <v>27</v>
      </c>
      <c r="C2" t="s">
        <v>28</v>
      </c>
      <c r="D2" t="s">
        <v>29</v>
      </c>
      <c r="E2">
        <v>50000</v>
      </c>
      <c r="G2" s="8" t="str">
        <f>IF(OR(E2&gt;=50000,D2="Laptop"),"Eligible","Not Eligible")</f>
        <v>Eligible</v>
      </c>
    </row>
    <row r="3" spans="1:7" x14ac:dyDescent="0.3">
      <c r="A3" s="5">
        <v>46143</v>
      </c>
      <c r="B3" t="s">
        <v>15</v>
      </c>
      <c r="C3" t="s">
        <v>30</v>
      </c>
      <c r="D3" t="s">
        <v>31</v>
      </c>
      <c r="E3">
        <v>5000</v>
      </c>
      <c r="G3" s="9" t="str">
        <f t="shared" ref="G3:G9" si="0">IF(OR(E3&gt;=50000,D3="Laptop"),"Eligible","Not Eligible")</f>
        <v>Not Eligible</v>
      </c>
    </row>
    <row r="4" spans="1:7" x14ac:dyDescent="0.3">
      <c r="A4" s="5">
        <v>46296</v>
      </c>
      <c r="B4" t="s">
        <v>27</v>
      </c>
      <c r="C4" t="s">
        <v>28</v>
      </c>
      <c r="D4" t="s">
        <v>32</v>
      </c>
      <c r="E4">
        <v>8000</v>
      </c>
      <c r="G4" s="8" t="str">
        <f t="shared" si="0"/>
        <v>Not Eligible</v>
      </c>
    </row>
    <row r="5" spans="1:7" x14ac:dyDescent="0.3">
      <c r="A5" s="6" t="s">
        <v>34</v>
      </c>
      <c r="B5" t="s">
        <v>16</v>
      </c>
      <c r="C5" t="s">
        <v>33</v>
      </c>
      <c r="D5" t="s">
        <v>29</v>
      </c>
      <c r="E5">
        <v>60000</v>
      </c>
      <c r="G5" s="9" t="str">
        <f t="shared" si="0"/>
        <v>Eligible</v>
      </c>
    </row>
    <row r="6" spans="1:7" x14ac:dyDescent="0.3">
      <c r="A6" s="6" t="s">
        <v>35</v>
      </c>
      <c r="B6" t="s">
        <v>15</v>
      </c>
      <c r="C6" t="s">
        <v>28</v>
      </c>
      <c r="D6" t="s">
        <v>29</v>
      </c>
      <c r="E6">
        <v>45000</v>
      </c>
      <c r="G6" s="8" t="str">
        <f t="shared" si="0"/>
        <v>Eligible</v>
      </c>
    </row>
    <row r="7" spans="1:7" x14ac:dyDescent="0.3">
      <c r="A7" s="5">
        <v>46145</v>
      </c>
      <c r="B7" t="s">
        <v>27</v>
      </c>
      <c r="C7" t="s">
        <v>30</v>
      </c>
      <c r="D7" t="s">
        <v>31</v>
      </c>
      <c r="E7">
        <v>6000</v>
      </c>
      <c r="G7" s="9" t="str">
        <f t="shared" si="0"/>
        <v>Not Eligible</v>
      </c>
    </row>
    <row r="8" spans="1:7" x14ac:dyDescent="0.3">
      <c r="A8" s="5">
        <v>46298</v>
      </c>
      <c r="B8" t="s">
        <v>16</v>
      </c>
      <c r="C8" t="s">
        <v>33</v>
      </c>
      <c r="D8" t="s">
        <v>32</v>
      </c>
      <c r="E8">
        <v>9000</v>
      </c>
      <c r="G8" s="8" t="str">
        <f t="shared" si="0"/>
        <v>Not Eligible</v>
      </c>
    </row>
    <row r="9" spans="1:7" x14ac:dyDescent="0.3">
      <c r="A9" s="6" t="s">
        <v>36</v>
      </c>
      <c r="B9" t="s">
        <v>15</v>
      </c>
      <c r="C9" t="s">
        <v>28</v>
      </c>
      <c r="D9" t="s">
        <v>32</v>
      </c>
      <c r="E9">
        <v>7000</v>
      </c>
      <c r="G9" s="9" t="str">
        <f t="shared" si="0"/>
        <v>Not Eligible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EAEF-01A0-426D-BE55-112F98F9AFCA}">
  <dimension ref="A1:E9"/>
  <sheetViews>
    <sheetView zoomScale="146" workbookViewId="0">
      <selection activeCell="E13" sqref="E13"/>
    </sheetView>
  </sheetViews>
  <sheetFormatPr defaultRowHeight="14.4" x14ac:dyDescent="0.3"/>
  <cols>
    <col min="1" max="1" width="10.6640625" bestFit="1" customWidth="1"/>
    <col min="2" max="2" width="13.21875" bestFit="1" customWidth="1"/>
    <col min="3" max="3" width="9" bestFit="1" customWidth="1"/>
    <col min="4" max="4" width="9.88671875" bestFit="1" customWidth="1"/>
    <col min="5" max="5" width="7.44140625" bestFit="1" customWidth="1"/>
  </cols>
  <sheetData>
    <row r="1" spans="1:5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3">
      <c r="A2" s="5">
        <v>46023</v>
      </c>
      <c r="B2" t="s">
        <v>27</v>
      </c>
      <c r="C2" t="s">
        <v>28</v>
      </c>
      <c r="D2" t="s">
        <v>29</v>
      </c>
      <c r="E2">
        <v>50000</v>
      </c>
    </row>
    <row r="3" spans="1:5" x14ac:dyDescent="0.3">
      <c r="A3" s="5">
        <v>46143</v>
      </c>
      <c r="B3" t="s">
        <v>15</v>
      </c>
      <c r="C3" t="s">
        <v>30</v>
      </c>
      <c r="D3" t="s">
        <v>31</v>
      </c>
      <c r="E3">
        <v>5000</v>
      </c>
    </row>
    <row r="4" spans="1:5" x14ac:dyDescent="0.3">
      <c r="A4" s="5">
        <v>46296</v>
      </c>
      <c r="B4" t="s">
        <v>27</v>
      </c>
      <c r="C4" t="s">
        <v>28</v>
      </c>
      <c r="D4" t="s">
        <v>32</v>
      </c>
      <c r="E4">
        <v>8000</v>
      </c>
    </row>
    <row r="5" spans="1:5" x14ac:dyDescent="0.3">
      <c r="A5" s="6" t="s">
        <v>34</v>
      </c>
      <c r="B5" t="s">
        <v>16</v>
      </c>
      <c r="C5" t="s">
        <v>33</v>
      </c>
      <c r="D5" t="s">
        <v>29</v>
      </c>
      <c r="E5">
        <v>60000</v>
      </c>
    </row>
    <row r="6" spans="1:5" x14ac:dyDescent="0.3">
      <c r="A6" s="6" t="s">
        <v>35</v>
      </c>
      <c r="B6" t="s">
        <v>15</v>
      </c>
      <c r="C6" t="s">
        <v>28</v>
      </c>
      <c r="D6" t="s">
        <v>29</v>
      </c>
      <c r="E6">
        <v>45000</v>
      </c>
    </row>
    <row r="7" spans="1:5" x14ac:dyDescent="0.3">
      <c r="A7" s="5">
        <v>46145</v>
      </c>
      <c r="B7" t="s">
        <v>27</v>
      </c>
      <c r="C7" t="s">
        <v>30</v>
      </c>
      <c r="D7" t="s">
        <v>31</v>
      </c>
      <c r="E7">
        <v>6000</v>
      </c>
    </row>
    <row r="8" spans="1:5" x14ac:dyDescent="0.3">
      <c r="A8" s="5">
        <v>46298</v>
      </c>
      <c r="B8" t="s">
        <v>16</v>
      </c>
      <c r="C8" t="s">
        <v>33</v>
      </c>
      <c r="D8" t="s">
        <v>32</v>
      </c>
      <c r="E8">
        <v>9000</v>
      </c>
    </row>
    <row r="9" spans="1:5" x14ac:dyDescent="0.3">
      <c r="A9" s="6" t="s">
        <v>36</v>
      </c>
      <c r="B9" t="s">
        <v>15</v>
      </c>
      <c r="C9" t="s">
        <v>28</v>
      </c>
      <c r="D9" t="s">
        <v>32</v>
      </c>
      <c r="E9">
        <v>7000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most of</vt:lpstr>
      <vt:lpstr>If_And</vt:lpstr>
      <vt:lpstr>If_OR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 Rajput</dc:creator>
  <cp:lastModifiedBy>Dharmendra Rajput</cp:lastModifiedBy>
  <dcterms:created xsi:type="dcterms:W3CDTF">2026-10-22T16:09:27Z</dcterms:created>
  <dcterms:modified xsi:type="dcterms:W3CDTF">2026-10-28T07:52:51Z</dcterms:modified>
</cp:coreProperties>
</file>